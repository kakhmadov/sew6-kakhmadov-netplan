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su\Schule\2025-26\sew\so\EKs\netplan\"/>
    </mc:Choice>
  </mc:AlternateContent>
  <xr:revisionPtr revIDLastSave="0" documentId="13_ncr:1_{550042E6-412F-4D2B-9301-F27119AFAE75}" xr6:coauthVersionLast="47" xr6:coauthVersionMax="47" xr10:uidLastSave="{00000000-0000-0000-0000-000000000000}"/>
  <bookViews>
    <workbookView xWindow="-120" yWindow="-120" windowWidth="29040" windowHeight="15990" xr2:uid="{73F3998D-465E-4EC6-B17D-C0E8D14E87E1}"/>
  </bookViews>
  <sheets>
    <sheet name="Beispiel_berechnet" sheetId="1" r:id="rId1"/>
  </sheets>
  <definedNames>
    <definedName name="_xlnm.Print_Area" localSheetId="0">Beispiel_berechnet!$A$1:$V$20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E5" i="1" s="1"/>
  <c r="G5" i="1" s="1"/>
  <c r="E11" i="1" l="1"/>
  <c r="G11" i="1" s="1"/>
  <c r="E17" i="1"/>
  <c r="G17" i="1" s="1"/>
  <c r="I17" i="1" s="1"/>
  <c r="K17" i="1" s="1"/>
  <c r="V9" i="1"/>
  <c r="V11" i="1"/>
  <c r="I11" i="1" l="1"/>
  <c r="I5" i="1"/>
  <c r="K5" i="1" s="1"/>
  <c r="K11" i="1"/>
  <c r="M6" i="1" s="1"/>
  <c r="O6" i="1" s="1"/>
  <c r="F6" i="1"/>
  <c r="F18" i="1"/>
  <c r="M18" i="1"/>
  <c r="O18" i="1" s="1"/>
  <c r="M12" i="1"/>
  <c r="O12" i="1" s="1"/>
  <c r="V12" i="1"/>
  <c r="V10" i="1"/>
  <c r="V8" i="1"/>
  <c r="J18" i="1" l="1"/>
  <c r="Q11" i="1"/>
  <c r="N19" i="1" s="1"/>
  <c r="J12" i="1"/>
  <c r="J6" i="1"/>
  <c r="S11" i="1"/>
  <c r="S12" i="1" s="1"/>
  <c r="Q12" i="1" s="1"/>
  <c r="N7" i="1" l="1"/>
  <c r="O7" i="1"/>
  <c r="M7" i="1" s="1"/>
  <c r="R11" i="1"/>
  <c r="O19" i="1"/>
  <c r="M19" i="1" s="1"/>
  <c r="N18" i="1" s="1"/>
  <c r="O13" i="1"/>
  <c r="M13" i="1" s="1"/>
  <c r="K18" i="1" l="1"/>
  <c r="I18" i="1" s="1"/>
  <c r="J17" i="1" s="1"/>
  <c r="N12" i="1"/>
  <c r="K12" i="1"/>
  <c r="I12" i="1" s="1"/>
  <c r="N6" i="1"/>
  <c r="K6" i="1"/>
  <c r="I6" i="1" s="1"/>
  <c r="J5" i="1" l="1"/>
  <c r="G12" i="1"/>
  <c r="E12" i="1" s="1"/>
  <c r="F11" i="1" s="1"/>
  <c r="G18" i="1"/>
  <c r="E18" i="1" s="1"/>
  <c r="F17" i="1" s="1"/>
  <c r="J11" i="1"/>
  <c r="G6" i="1"/>
  <c r="E6" i="1" s="1"/>
  <c r="F5" i="1" l="1"/>
  <c r="C9" i="1"/>
  <c r="A9" i="1" s="1"/>
  <c r="B8" i="1" s="1"/>
</calcChain>
</file>

<file path=xl/sharedStrings.xml><?xml version="1.0" encoding="utf-8"?>
<sst xmlns="http://schemas.openxmlformats.org/spreadsheetml/2006/main" count="25" uniqueCount="20">
  <si>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</si>
  <si>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</si>
  <si>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</si>
  <si>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</si>
  <si>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</si>
  <si>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</si>
  <si>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</si>
  <si>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</si>
  <si>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</si>
  <si>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</si>
  <si>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</si>
  <si>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ID</t>
  </si>
  <si>
    <t>Name</t>
  </si>
  <si>
    <t>Dauer</t>
  </si>
  <si>
    <t>FAZ</t>
  </si>
  <si>
    <t>GP</t>
  </si>
  <si>
    <t>FEZ</t>
  </si>
  <si>
    <t>SAZ</t>
  </si>
  <si>
    <t>FP</t>
  </si>
  <si>
    <t>SEZ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</si>
</sst>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6350</xdr:colOff>
      <xdr:row>5</xdr:row>
      <xdr:rowOff>120650</xdr:rowOff>
    </xdr:from>
    <xdr:to>
      <xdr:col>15</xdr:col>
      <xdr:colOff>749300</xdr:colOff>
      <xdr:row>10</xdr:row>
      <xdr:rowOff>127000</xdr:rowOff>
    </xdr:to>
    <xdr:cxnSp macro="">
      <xdr:nvCxnSpPr>
        <xdr:cNvPr id="2" name="Gerade Verbindung mit Pfeil 1">
          <a:extLst>
            <a:ext uri="{FF2B5EF4-FFF2-40B4-BE49-F238E27FC236}">
              <a16:creationId xmlns:a16="http://schemas.microsoft.com/office/drawing/2014/main" id="{87CE1C79-5F32-4A88-9933-6C0D51027834}"/>
            </a:ext>
          </a:extLst>
        </xdr:cNvPr>
        <xdr:cNvCxnSpPr/>
      </xdr:nvCxnSpPr>
      <xdr:spPr>
        <a:xfrm>
          <a:off x="7289800" y="1054100"/>
          <a:ext cx="742950" cy="952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406400</xdr:colOff>
      <xdr:row>11</xdr:row>
      <xdr:rowOff>6350</xdr:rowOff>
    </xdr:from>
    <xdr:to>
      <xdr:col>15</xdr:col>
      <xdr:colOff>730250</xdr:colOff>
      <xdr:row>11</xdr:row>
      <xdr:rowOff>95250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DC250763-4685-402B-A89B-78A01C73BDE5}"/>
            </a:ext>
          </a:extLst>
        </xdr:cNvPr>
        <xdr:cNvCxnSpPr/>
      </xdr:nvCxnSpPr>
      <xdr:spPr>
        <a:xfrm flipV="1">
          <a:off x="7270750" y="2070100"/>
          <a:ext cx="742950" cy="88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11</xdr:row>
      <xdr:rowOff>120650</xdr:rowOff>
    </xdr:from>
    <xdr:to>
      <xdr:col>15</xdr:col>
      <xdr:colOff>704850</xdr:colOff>
      <xdr:row>17</xdr:row>
      <xdr:rowOff>114300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53B84682-7A2C-4FCB-B8D9-504D85BFC026}"/>
            </a:ext>
          </a:extLst>
        </xdr:cNvPr>
        <xdr:cNvCxnSpPr/>
      </xdr:nvCxnSpPr>
      <xdr:spPr>
        <a:xfrm flipV="1">
          <a:off x="7321550" y="2184400"/>
          <a:ext cx="666750" cy="1123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4</xdr:row>
      <xdr:rowOff>69850</xdr:rowOff>
    </xdr:from>
    <xdr:to>
      <xdr:col>11</xdr:col>
      <xdr:colOff>723900</xdr:colOff>
      <xdr:row>5</xdr:row>
      <xdr:rowOff>101600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9EC26EBF-F486-4F0E-A939-FEB9034D0A32}"/>
            </a:ext>
          </a:extLst>
        </xdr:cNvPr>
        <xdr:cNvCxnSpPr/>
      </xdr:nvCxnSpPr>
      <xdr:spPr>
        <a:xfrm>
          <a:off x="5276850" y="819150"/>
          <a:ext cx="717550" cy="21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31750</xdr:colOff>
      <xdr:row>10</xdr:row>
      <xdr:rowOff>63500</xdr:rowOff>
    </xdr:from>
    <xdr:to>
      <xdr:col>11</xdr:col>
      <xdr:colOff>749300</xdr:colOff>
      <xdr:row>11</xdr:row>
      <xdr:rowOff>88900</xdr:rowOff>
    </xdr:to>
    <xdr:cxnSp macro="">
      <xdr:nvCxnSpPr>
        <xdr:cNvPr id="6" name="Gerade Verbindung mit Pfeil 5">
          <a:extLst>
            <a:ext uri="{FF2B5EF4-FFF2-40B4-BE49-F238E27FC236}">
              <a16:creationId xmlns:a16="http://schemas.microsoft.com/office/drawing/2014/main" id="{74ABEB1A-151F-469A-8382-3AB795A2D6B6}"/>
            </a:ext>
          </a:extLst>
        </xdr:cNvPr>
        <xdr:cNvCxnSpPr/>
      </xdr:nvCxnSpPr>
      <xdr:spPr>
        <a:xfrm>
          <a:off x="5302250" y="1943100"/>
          <a:ext cx="7175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16</xdr:row>
      <xdr:rowOff>88900</xdr:rowOff>
    </xdr:from>
    <xdr:to>
      <xdr:col>11</xdr:col>
      <xdr:colOff>755650</xdr:colOff>
      <xdr:row>17</xdr:row>
      <xdr:rowOff>120650</xdr:rowOff>
    </xdr:to>
    <xdr:cxnSp macro="">
      <xdr:nvCxnSpPr>
        <xdr:cNvPr id="7" name="Gerade Verbindung mit Pfeil 6">
          <a:extLst>
            <a:ext uri="{FF2B5EF4-FFF2-40B4-BE49-F238E27FC236}">
              <a16:creationId xmlns:a16="http://schemas.microsoft.com/office/drawing/2014/main" id="{70263FEF-62EF-48D9-92DF-30A90A2491BA}"/>
            </a:ext>
          </a:extLst>
        </xdr:cNvPr>
        <xdr:cNvCxnSpPr/>
      </xdr:nvCxnSpPr>
      <xdr:spPr>
        <a:xfrm>
          <a:off x="5308600" y="3098800"/>
          <a:ext cx="717550" cy="21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11</xdr:row>
      <xdr:rowOff>158750</xdr:rowOff>
    </xdr:from>
    <xdr:to>
      <xdr:col>11</xdr:col>
      <xdr:colOff>698500</xdr:colOff>
      <xdr:row>16</xdr:row>
      <xdr:rowOff>69850</xdr:rowOff>
    </xdr:to>
    <xdr:cxnSp macro="">
      <xdr:nvCxnSpPr>
        <xdr:cNvPr id="8" name="Gerade Verbindung mit Pfeil 7">
          <a:extLst>
            <a:ext uri="{FF2B5EF4-FFF2-40B4-BE49-F238E27FC236}">
              <a16:creationId xmlns:a16="http://schemas.microsoft.com/office/drawing/2014/main" id="{5A886B9E-642F-4B17-8B5A-39AB96BB2A50}"/>
            </a:ext>
          </a:extLst>
        </xdr:cNvPr>
        <xdr:cNvCxnSpPr/>
      </xdr:nvCxnSpPr>
      <xdr:spPr>
        <a:xfrm flipV="1">
          <a:off x="5308600" y="2222500"/>
          <a:ext cx="660400" cy="857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44450</xdr:colOff>
      <xdr:row>5</xdr:row>
      <xdr:rowOff>133350</xdr:rowOff>
    </xdr:from>
    <xdr:to>
      <xdr:col>11</xdr:col>
      <xdr:colOff>704850</xdr:colOff>
      <xdr:row>10</xdr:row>
      <xdr:rowOff>50800</xdr:rowOff>
    </xdr:to>
    <xdr:cxnSp macro="">
      <xdr:nvCxnSpPr>
        <xdr:cNvPr id="9" name="Gerade Verbindung mit Pfeil 8">
          <a:extLst>
            <a:ext uri="{FF2B5EF4-FFF2-40B4-BE49-F238E27FC236}">
              <a16:creationId xmlns:a16="http://schemas.microsoft.com/office/drawing/2014/main" id="{D7E8AFEB-9B34-4C72-AA38-BFFFB19C66D8}"/>
            </a:ext>
          </a:extLst>
        </xdr:cNvPr>
        <xdr:cNvCxnSpPr/>
      </xdr:nvCxnSpPr>
      <xdr:spPr>
        <a:xfrm flipV="1">
          <a:off x="5314950" y="1066800"/>
          <a:ext cx="660400" cy="863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4</xdr:row>
      <xdr:rowOff>127000</xdr:rowOff>
    </xdr:from>
    <xdr:to>
      <xdr:col>7</xdr:col>
      <xdr:colOff>730250</xdr:colOff>
      <xdr:row>10</xdr:row>
      <xdr:rowOff>63500</xdr:rowOff>
    </xdr:to>
    <xdr:cxnSp macro="">
      <xdr:nvCxnSpPr>
        <xdr:cNvPr id="10" name="Gerade Verbindung mit Pfeil 9">
          <a:extLst>
            <a:ext uri="{FF2B5EF4-FFF2-40B4-BE49-F238E27FC236}">
              <a16:creationId xmlns:a16="http://schemas.microsoft.com/office/drawing/2014/main" id="{C44D172A-8FFE-4D7D-AF78-DB4676475EA4}"/>
            </a:ext>
          </a:extLst>
        </xdr:cNvPr>
        <xdr:cNvCxnSpPr/>
      </xdr:nvCxnSpPr>
      <xdr:spPr>
        <a:xfrm flipV="1">
          <a:off x="3352800" y="876300"/>
          <a:ext cx="711200" cy="1066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10</xdr:row>
      <xdr:rowOff>69850</xdr:rowOff>
    </xdr:from>
    <xdr:to>
      <xdr:col>7</xdr:col>
      <xdr:colOff>730250</xdr:colOff>
      <xdr:row>10</xdr:row>
      <xdr:rowOff>101600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89EC6169-8C3D-43AF-886C-502A0EFDEA7D}"/>
            </a:ext>
          </a:extLst>
        </xdr:cNvPr>
        <xdr:cNvCxnSpPr/>
      </xdr:nvCxnSpPr>
      <xdr:spPr>
        <a:xfrm>
          <a:off x="3340100" y="1949450"/>
          <a:ext cx="723900" cy="31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10</xdr:row>
      <xdr:rowOff>107950</xdr:rowOff>
    </xdr:from>
    <xdr:to>
      <xdr:col>7</xdr:col>
      <xdr:colOff>711200</xdr:colOff>
      <xdr:row>16</xdr:row>
      <xdr:rowOff>101600</xdr:rowOff>
    </xdr:to>
    <xdr:cxnSp macro="">
      <xdr:nvCxnSpPr>
        <xdr:cNvPr id="12" name="Gerade Verbindung mit Pfeil 11">
          <a:extLst>
            <a:ext uri="{FF2B5EF4-FFF2-40B4-BE49-F238E27FC236}">
              <a16:creationId xmlns:a16="http://schemas.microsoft.com/office/drawing/2014/main" id="{C4B1A16B-8BE5-4351-9B03-0DC412FFF93B}"/>
            </a:ext>
          </a:extLst>
        </xdr:cNvPr>
        <xdr:cNvCxnSpPr/>
      </xdr:nvCxnSpPr>
      <xdr:spPr>
        <a:xfrm>
          <a:off x="3340100" y="1987550"/>
          <a:ext cx="704850" cy="1123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4</xdr:row>
      <xdr:rowOff>101600</xdr:rowOff>
    </xdr:from>
    <xdr:to>
      <xdr:col>7</xdr:col>
      <xdr:colOff>749300</xdr:colOff>
      <xdr:row>10</xdr:row>
      <xdr:rowOff>82550</xdr:rowOff>
    </xdr:to>
    <xdr:cxnSp macro="">
      <xdr:nvCxnSpPr>
        <xdr:cNvPr id="13" name="Gerade Verbindung mit Pfeil 12">
          <a:extLst>
            <a:ext uri="{FF2B5EF4-FFF2-40B4-BE49-F238E27FC236}">
              <a16:creationId xmlns:a16="http://schemas.microsoft.com/office/drawing/2014/main" id="{1C818037-D8A0-4ED3-8EFC-87EE37683A47}"/>
            </a:ext>
          </a:extLst>
        </xdr:cNvPr>
        <xdr:cNvCxnSpPr/>
      </xdr:nvCxnSpPr>
      <xdr:spPr>
        <a:xfrm>
          <a:off x="3352800" y="850900"/>
          <a:ext cx="730250" cy="1111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4</xdr:row>
      <xdr:rowOff>114300</xdr:rowOff>
    </xdr:from>
    <xdr:to>
      <xdr:col>3</xdr:col>
      <xdr:colOff>736600</xdr:colOff>
      <xdr:row>7</xdr:row>
      <xdr:rowOff>114300</xdr:rowOff>
    </xdr:to>
    <xdr:cxnSp macro="">
      <xdr:nvCxnSpPr>
        <xdr:cNvPr id="14" name="Gerade Verbindung mit Pfeil 13">
          <a:extLst>
            <a:ext uri="{FF2B5EF4-FFF2-40B4-BE49-F238E27FC236}">
              <a16:creationId xmlns:a16="http://schemas.microsoft.com/office/drawing/2014/main" id="{B661F714-3270-47B8-829B-CFCD0D9347BD}"/>
            </a:ext>
          </a:extLst>
        </xdr:cNvPr>
        <xdr:cNvCxnSpPr/>
      </xdr:nvCxnSpPr>
      <xdr:spPr>
        <a:xfrm flipV="1">
          <a:off x="1365250" y="863600"/>
          <a:ext cx="723900" cy="565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387350</xdr:colOff>
      <xdr:row>8</xdr:row>
      <xdr:rowOff>82550</xdr:rowOff>
    </xdr:from>
    <xdr:to>
      <xdr:col>3</xdr:col>
      <xdr:colOff>717550</xdr:colOff>
      <xdr:row>16</xdr:row>
      <xdr:rowOff>31750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7CAA7421-602D-42DE-AA24-9B458CC8FA92}"/>
            </a:ext>
          </a:extLst>
        </xdr:cNvPr>
        <xdr:cNvCxnSpPr/>
      </xdr:nvCxnSpPr>
      <xdr:spPr>
        <a:xfrm>
          <a:off x="1327150" y="1581150"/>
          <a:ext cx="742950" cy="146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</xdr:row>
      <xdr:rowOff>146050</xdr:rowOff>
    </xdr:from>
    <xdr:to>
      <xdr:col>3</xdr:col>
      <xdr:colOff>704850</xdr:colOff>
      <xdr:row>10</xdr:row>
      <xdr:rowOff>38100</xdr:rowOff>
    </xdr:to>
    <xdr:cxnSp macro="">
      <xdr:nvCxnSpPr>
        <xdr:cNvPr id="16" name="Gerade Verbindung mit Pfeil 15">
          <a:extLst>
            <a:ext uri="{FF2B5EF4-FFF2-40B4-BE49-F238E27FC236}">
              <a16:creationId xmlns:a16="http://schemas.microsoft.com/office/drawing/2014/main" id="{1885E863-81E7-4AFA-85C1-4270DF62852E}"/>
            </a:ext>
          </a:extLst>
        </xdr:cNvPr>
        <xdr:cNvCxnSpPr/>
      </xdr:nvCxnSpPr>
      <xdr:spPr>
        <a:xfrm>
          <a:off x="1352550" y="1460500"/>
          <a:ext cx="70485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11</xdr:row>
      <xdr:rowOff>19050</xdr:rowOff>
    </xdr:from>
    <xdr:to>
      <xdr:col>7</xdr:col>
      <xdr:colOff>749300</xdr:colOff>
      <xdr:row>16</xdr:row>
      <xdr:rowOff>139700</xdr:rowOff>
    </xdr:to>
    <xdr:cxnSp macro="">
      <xdr:nvCxnSpPr>
        <xdr:cNvPr id="17" name="Gerade Verbindung mit Pfeil 16">
          <a:extLst>
            <a:ext uri="{FF2B5EF4-FFF2-40B4-BE49-F238E27FC236}">
              <a16:creationId xmlns:a16="http://schemas.microsoft.com/office/drawing/2014/main" id="{78450837-335D-4E58-ADF1-6874BD81A65F}"/>
            </a:ext>
          </a:extLst>
        </xdr:cNvPr>
        <xdr:cNvCxnSpPr/>
      </xdr:nvCxnSpPr>
      <xdr:spPr>
        <a:xfrm flipV="1">
          <a:off x="3371850" y="2082800"/>
          <a:ext cx="711200" cy="1066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16</xdr:row>
      <xdr:rowOff>146050</xdr:rowOff>
    </xdr:from>
    <xdr:to>
      <xdr:col>7</xdr:col>
      <xdr:colOff>717550</xdr:colOff>
      <xdr:row>16</xdr:row>
      <xdr:rowOff>165100</xdr:rowOff>
    </xdr:to>
    <xdr:cxnSp macro="">
      <xdr:nvCxnSpPr>
        <xdr:cNvPr id="18" name="Gerade Verbindung mit Pfeil 17">
          <a:extLst>
            <a:ext uri="{FF2B5EF4-FFF2-40B4-BE49-F238E27FC236}">
              <a16:creationId xmlns:a16="http://schemas.microsoft.com/office/drawing/2014/main" id="{B06C442B-CE46-435E-8C39-62F699C42062}"/>
            </a:ext>
          </a:extLst>
        </xdr:cNvPr>
        <xdr:cNvCxnSpPr/>
      </xdr:nvCxnSpPr>
      <xdr:spPr>
        <a:xfrm flipV="1">
          <a:off x="3340100" y="3155950"/>
          <a:ext cx="7112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B86FA-DF2C-40FE-82B6-849602EEB193}">
  <sheetPr codeName="Tabelle3">
    <pageSetUpPr fitToPage="1"/>
  </sheetPr>
  <dimension ref="A1:X19"/>
  <sheetViews>
    <sheetView tabSelected="1" workbookViewId="0">
      <selection activeCell="S16" sqref="S16"/>
    </sheetView>
  </sheetViews>
  <sheetFormatPr baseColWidth="10" defaultRowHeight="15" x14ac:dyDescent="0.25"/>
  <cols>
    <col min="1" max="1" width="5.28515625" style="1" customWidth="1"/>
    <col min="2" max="2" width="8.140625" style="1" customWidth="1"/>
    <col min="3" max="3" width="5.85546875" style="2" customWidth="1"/>
    <col min="5" max="5" width="5.5703125" style="2" customWidth="1"/>
    <col min="6" max="6" width="6" customWidth="1"/>
    <col min="7" max="7" width="5.85546875" style="2" customWidth="1"/>
    <col min="9" max="9" width="5.5703125" style="2" customWidth="1"/>
    <col min="10" max="10" width="5.7109375" customWidth="1"/>
    <col min="11" max="11" width="5.42578125" style="2" customWidth="1"/>
    <col min="13" max="13" width="5.85546875" style="2" customWidth="1"/>
    <col min="14" max="14" width="6.140625" style="1" customWidth="1"/>
    <col min="15" max="15" width="6" style="2" customWidth="1"/>
    <col min="16" max="16" width="10.85546875" style="4"/>
    <col min="17" max="17" width="5.5703125" style="2" customWidth="1"/>
    <col min="18" max="18" width="6.5703125" style="4" customWidth="1"/>
    <col min="19" max="19" width="5.42578125" style="2" customWidth="1"/>
    <col min="20" max="20" width="2.85546875" style="4" customWidth="1"/>
    <col min="21" max="21" width="3.42578125" customWidth="1"/>
    <col min="22" max="22" width="3.5703125" customWidth="1"/>
    <col min="23" max="24" width="10.85546875" style="3"/>
  </cols>
  <sheetData>
    <row r="1" spans="1:24" ht="15.75" thickBot="1" x14ac:dyDescent="0.3">
      <c r="A1" s="13" t="s">
        <v>11</v>
      </c>
      <c r="B1" s="14" t="s">
        <v>12</v>
      </c>
      <c r="C1" s="15" t="s">
        <v>13</v>
      </c>
      <c r="P1" s="3"/>
      <c r="W1" s="5"/>
      <c r="X1" s="5">
        <v>22</v>
      </c>
    </row>
    <row r="2" spans="1:24" x14ac:dyDescent="0.25">
      <c r="A2" s="6" t="s">
        <v>14</v>
      </c>
      <c r="B2" s="10" t="s">
        <v>15</v>
      </c>
      <c r="C2" s="12" t="s">
        <v>16</v>
      </c>
      <c r="P2"/>
      <c r="Q2" s="4"/>
      <c r="R2"/>
      <c r="S2"/>
      <c r="T2"/>
      <c r="U2" s="3"/>
      <c r="V2" s="3"/>
    </row>
    <row r="3" spans="1:24" ht="15.75" thickBot="1" x14ac:dyDescent="0.3">
      <c r="A3" s="8" t="s">
        <v>17</v>
      </c>
      <c r="B3" s="11" t="s">
        <v>18</v>
      </c>
      <c r="C3" s="9" t="s">
        <v>19</v>
      </c>
      <c r="P3"/>
      <c r="R3"/>
      <c r="S3" s="1"/>
      <c r="T3"/>
      <c r="U3" s="3"/>
      <c r="V3" s="3"/>
    </row>
    <row r="4" spans="1:24" ht="15.75" thickBot="1" x14ac:dyDescent="0.3">
      <c r="E4" s="13">
        <v>2</v>
      </c>
      <c r="F4" s="14" t="s">
        <v>2</v>
      </c>
      <c r="G4" s="15">
        <v>3</v>
      </c>
      <c r="I4" s="13">
        <v>4</v>
      </c>
      <c r="J4" s="14" t="s">
        <v>4</v>
      </c>
      <c r="K4" s="15">
        <v>42</v>
      </c>
      <c r="P4"/>
      <c r="R4"/>
      <c r="S4" s="1"/>
      <c r="T4"/>
      <c r="U4" s="3"/>
      <c r="V4" s="3"/>
    </row>
    <row r="5" spans="1:24" ht="15.75" thickBot="1" x14ac:dyDescent="0.3">
      <c r="E5" s="6">
        <f>$C$8</f>
        <v>20</v>
      </c>
      <c r="F5" s="10">
        <f>E6-E5</f>
        <v>22</v>
      </c>
      <c r="G5" s="7">
        <f>G4+E5</f>
        <v>23</v>
      </c>
      <c r="I5" s="6">
        <f>$G$11</f>
        <v>45</v>
      </c>
      <c r="J5" s="10">
        <f>I6-I5</f>
        <v>9</v>
      </c>
      <c r="K5" s="7">
        <f>K4+I5</f>
        <v>87</v>
      </c>
      <c r="M5" s="13">
        <v>7</v>
      </c>
      <c r="N5" s="14" t="s">
        <v>7</v>
      </c>
      <c r="O5" s="15">
        <v>39</v>
      </c>
      <c r="U5" s="3"/>
      <c r="V5" s="3"/>
    </row>
    <row r="6" spans="1:24" ht="15.75" thickBot="1" x14ac:dyDescent="0.3">
      <c r="E6" s="8">
        <f>G6-G4</f>
        <v>42</v>
      </c>
      <c r="F6" s="11">
        <f>I11-G5</f>
        <v>22</v>
      </c>
      <c r="G6" s="9">
        <f>I12</f>
        <v>45</v>
      </c>
      <c r="I6" s="8">
        <f>K6-K4</f>
        <v>54</v>
      </c>
      <c r="J6" s="11">
        <f>MIN(M6,M12)-K5</f>
        <v>2</v>
      </c>
      <c r="K6" s="9">
        <f>M7</f>
        <v>96</v>
      </c>
      <c r="M6" s="6">
        <f>MAX(K5,K11)</f>
        <v>89</v>
      </c>
      <c r="N6" s="10">
        <f>M7-M6</f>
        <v>7</v>
      </c>
      <c r="O6" s="7">
        <f>O5+M6</f>
        <v>128</v>
      </c>
      <c r="U6" s="3"/>
      <c r="V6" s="3"/>
    </row>
    <row r="7" spans="1:24" ht="15.75" thickBot="1" x14ac:dyDescent="0.3">
      <c r="A7" s="13">
        <v>0</v>
      </c>
      <c r="B7" s="14" t="s">
        <v>0</v>
      </c>
      <c r="C7" s="15">
        <v>20</v>
      </c>
      <c r="M7" s="8">
        <f>O7-O5</f>
        <v>96</v>
      </c>
      <c r="N7" s="11">
        <f>Q11-O6</f>
        <v>7</v>
      </c>
      <c r="O7" s="9">
        <f>$Q$12</f>
        <v>135</v>
      </c>
      <c r="U7" s="3"/>
      <c r="V7" s="3"/>
    </row>
    <row r="8" spans="1:24" x14ac:dyDescent="0.25">
      <c r="A8" s="6">
        <v>0</v>
      </c>
      <c r="B8" s="16">
        <f>A9-A8</f>
        <v>0</v>
      </c>
      <c r="C8" s="12">
        <f>C7+A8</f>
        <v>20</v>
      </c>
      <c r="U8" s="3" t="s">
        <v>6</v>
      </c>
      <c r="V8" s="3">
        <f>IF(MOD(V4,3)=1,V3-1,V3+3)</f>
        <v>3</v>
      </c>
    </row>
    <row r="9" spans="1:24" ht="15.75" thickBot="1" x14ac:dyDescent="0.3">
      <c r="A9" s="8">
        <f>C9-C7</f>
        <v>0</v>
      </c>
      <c r="B9" s="11">
        <v>0</v>
      </c>
      <c r="C9" s="9">
        <f>MIN(E6,E12,E18)</f>
        <v>20</v>
      </c>
      <c r="U9" s="3" t="s">
        <v>7</v>
      </c>
      <c r="V9" s="3">
        <f>V6-3</f>
        <v>-3</v>
      </c>
    </row>
    <row r="10" spans="1:24" ht="15.75" thickBot="1" x14ac:dyDescent="0.3">
      <c r="E10" s="13">
        <v>3</v>
      </c>
      <c r="F10" s="14" t="s">
        <v>3</v>
      </c>
      <c r="G10" s="15">
        <v>25</v>
      </c>
      <c r="I10" s="13">
        <v>5</v>
      </c>
      <c r="J10" s="14" t="s">
        <v>5</v>
      </c>
      <c r="K10" s="15">
        <v>44</v>
      </c>
      <c r="Q10" s="13">
        <v>10</v>
      </c>
      <c r="R10" s="14" t="s">
        <v>10</v>
      </c>
      <c r="S10" s="15">
        <v>43</v>
      </c>
      <c r="U10" s="3" t="s">
        <v>8</v>
      </c>
      <c r="V10" s="3">
        <f>V7+2</f>
        <v>2</v>
      </c>
    </row>
    <row r="11" spans="1:24" ht="15.75" thickBot="1" x14ac:dyDescent="0.3">
      <c r="E11" s="6">
        <f>$C$8</f>
        <v>20</v>
      </c>
      <c r="F11" s="16">
        <f>E12-E11</f>
        <v>0</v>
      </c>
      <c r="G11" s="7">
        <f>G10+E11</f>
        <v>45</v>
      </c>
      <c r="I11" s="6">
        <f>MAX(G5,G11,G17)</f>
        <v>45</v>
      </c>
      <c r="J11" s="16">
        <f>I12-I11</f>
        <v>0</v>
      </c>
      <c r="K11" s="7">
        <f>K10+I11</f>
        <v>89</v>
      </c>
      <c r="M11" s="13">
        <v>8</v>
      </c>
      <c r="N11" s="14" t="s">
        <v>8</v>
      </c>
      <c r="O11" s="15">
        <v>46</v>
      </c>
      <c r="Q11" s="6">
        <f>MAX(O6,O12,O18)</f>
        <v>135</v>
      </c>
      <c r="R11" s="16">
        <f>Q12-Q11</f>
        <v>0</v>
      </c>
      <c r="S11" s="7">
        <f>S10+Q11</f>
        <v>178</v>
      </c>
      <c r="U11" s="3" t="s">
        <v>9</v>
      </c>
      <c r="V11" s="3">
        <f>V3-3</f>
        <v>-3</v>
      </c>
    </row>
    <row r="12" spans="1:24" ht="15.75" thickBot="1" x14ac:dyDescent="0.3">
      <c r="E12" s="8">
        <f>G12-G10</f>
        <v>20</v>
      </c>
      <c r="F12" s="11">
        <v>0</v>
      </c>
      <c r="G12" s="9">
        <f>MIN(I6,I12,I18)</f>
        <v>45</v>
      </c>
      <c r="I12" s="8">
        <f>K12-K10</f>
        <v>45</v>
      </c>
      <c r="J12" s="11">
        <f>MIN(M12,M6)-K11</f>
        <v>0</v>
      </c>
      <c r="K12" s="9">
        <f>MIN(M13,M7)</f>
        <v>89</v>
      </c>
      <c r="M12" s="6">
        <f>MAX(K11,K17)</f>
        <v>89</v>
      </c>
      <c r="N12" s="16">
        <f>M13-M12</f>
        <v>0</v>
      </c>
      <c r="O12" s="7">
        <f>O11+M12</f>
        <v>135</v>
      </c>
      <c r="Q12" s="8">
        <f>S12-S10</f>
        <v>135</v>
      </c>
      <c r="R12" s="11">
        <v>0</v>
      </c>
      <c r="S12" s="9">
        <f>S11</f>
        <v>178</v>
      </c>
      <c r="U12" s="3" t="s">
        <v>10</v>
      </c>
      <c r="V12" s="3">
        <f>V7-1</f>
        <v>-1</v>
      </c>
    </row>
    <row r="13" spans="1:24" ht="15.75" thickBot="1" x14ac:dyDescent="0.3">
      <c r="M13" s="8">
        <f>O13-O11</f>
        <v>89</v>
      </c>
      <c r="N13" s="11">
        <v>0</v>
      </c>
      <c r="O13" s="9">
        <f>$Q$12</f>
        <v>135</v>
      </c>
      <c r="U13" s="3"/>
      <c r="V13" s="3"/>
    </row>
    <row r="14" spans="1:24" x14ac:dyDescent="0.25">
      <c r="A14" s="2"/>
      <c r="U14" s="3"/>
      <c r="V14" s="3"/>
    </row>
    <row r="15" spans="1:24" ht="15.75" thickBot="1" x14ac:dyDescent="0.3"/>
    <row r="16" spans="1:24" ht="15.75" thickBot="1" x14ac:dyDescent="0.3">
      <c r="E16" s="13">
        <v>1</v>
      </c>
      <c r="F16" s="14" t="s">
        <v>1</v>
      </c>
      <c r="G16" s="15">
        <v>22</v>
      </c>
      <c r="I16" s="13">
        <v>6</v>
      </c>
      <c r="J16" s="14" t="s">
        <v>6</v>
      </c>
      <c r="K16" s="15">
        <v>25</v>
      </c>
    </row>
    <row r="17" spans="5:15" ht="15.75" thickBot="1" x14ac:dyDescent="0.3">
      <c r="E17" s="6">
        <f>$C$8</f>
        <v>20</v>
      </c>
      <c r="F17" s="10">
        <f>E18-E17</f>
        <v>3</v>
      </c>
      <c r="G17" s="7">
        <f>G16+E17</f>
        <v>42</v>
      </c>
      <c r="I17" s="6">
        <f>MAX(G11,G17)</f>
        <v>45</v>
      </c>
      <c r="J17" s="10">
        <f>I18-I17</f>
        <v>19</v>
      </c>
      <c r="K17" s="7">
        <f>K16+I17</f>
        <v>70</v>
      </c>
      <c r="M17" s="13">
        <v>9</v>
      </c>
      <c r="N17" s="14" t="s">
        <v>9</v>
      </c>
      <c r="O17" s="15">
        <v>19</v>
      </c>
    </row>
    <row r="18" spans="5:15" ht="15.75" thickBot="1" x14ac:dyDescent="0.3">
      <c r="E18" s="8">
        <f>G18-G16</f>
        <v>23</v>
      </c>
      <c r="F18" s="11">
        <f>MIN(I11,I17)-G17</f>
        <v>3</v>
      </c>
      <c r="G18" s="9">
        <f>MIN(I12,I18)</f>
        <v>45</v>
      </c>
      <c r="I18" s="8">
        <f>K18-K16</f>
        <v>64</v>
      </c>
      <c r="J18" s="11">
        <f>MIN(M12,M18)-K17</f>
        <v>0</v>
      </c>
      <c r="K18" s="9">
        <f>MIN(M13,M19)</f>
        <v>89</v>
      </c>
      <c r="M18" s="6">
        <f>K17</f>
        <v>70</v>
      </c>
      <c r="N18" s="10">
        <f>M19-M18</f>
        <v>46</v>
      </c>
      <c r="O18" s="7">
        <f>O17+M18</f>
        <v>89</v>
      </c>
    </row>
    <row r="19" spans="5:15" ht="15.75" thickBot="1" x14ac:dyDescent="0.3">
      <c r="M19" s="8">
        <f>O19-O17</f>
        <v>116</v>
      </c>
      <c r="N19" s="11">
        <f>Q11-O18</f>
        <v>46</v>
      </c>
      <c r="O19" s="9">
        <f>$Q$12</f>
        <v>135</v>
      </c>
    </row>
  </sheetData>
  <pageMargins left="0.7" right="0.7" top="0.78740157499999996" bottom="0.78740157499999996" header="0.3" footer="0.3"/>
  <pageSetup paperSize="9" scale="92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Beispiel_berechnet</vt:lpstr>
      <vt:lpstr>Beispiel_berechnet!Druckbereich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uhs374h</dc:creator>
  <cp:lastModifiedBy>Akhmadov Khasu</cp:lastModifiedBy>
  <dcterms:created xsi:type="dcterms:W3CDTF">2023-04-09T10:20:10Z</dcterms:created>
  <dcterms:modified xsi:type="dcterms:W3CDTF">2026-06-10T11:44:52Z</dcterms:modified>
</cp:coreProperties>
</file>